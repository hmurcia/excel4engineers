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UniMonserrate\Excel4engineers\"/>
    </mc:Choice>
  </mc:AlternateContent>
  <xr:revisionPtr revIDLastSave="0" documentId="8_{999447BE-29A6-4474-A1E0-6D9C43349030}" xr6:coauthVersionLast="47" xr6:coauthVersionMax="47" xr10:uidLastSave="{00000000-0000-0000-0000-000000000000}"/>
  <bookViews>
    <workbookView xWindow="-120" yWindow="-120" windowWidth="24240" windowHeight="13740" activeTab="1" xr2:uid="{4750740D-C7F6-4EA6-89E9-A531706C7176}"/>
  </bookViews>
  <sheets>
    <sheet name="Cuota Fija" sheetId="2" r:id="rId1"/>
    <sheet name="Abono Cap. Fijo" sheetId="5" r:id="rId2"/>
  </sheets>
  <definedNames>
    <definedName name="Cuota">'Cuota Fija'!$B$6</definedName>
    <definedName name="Plazo">'Cuota Fija'!$B$3</definedName>
    <definedName name="Tasa">'Cuota Fija'!$B$4</definedName>
    <definedName name="Valor_Actual">'Cuota Fija'!$B$2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B6" i="5"/>
  <c r="H4" i="5"/>
  <c r="H5" i="5" s="1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I3" i="5"/>
  <c r="E4" i="5" s="1"/>
  <c r="E3" i="5"/>
  <c r="G3" i="5" s="1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F3" i="2"/>
  <c r="I3" i="2" s="1"/>
  <c r="E4" i="2" s="1"/>
  <c r="G4" i="2" s="1"/>
  <c r="G3" i="2"/>
  <c r="E3" i="2"/>
  <c r="D15" i="2"/>
  <c r="D16" i="2"/>
  <c r="D17" i="2"/>
  <c r="D18" i="2"/>
  <c r="D19" i="2" s="1"/>
  <c r="D20" i="2" s="1"/>
  <c r="D21" i="2" s="1"/>
  <c r="D22" i="2" s="1"/>
  <c r="D23" i="2" s="1"/>
  <c r="D24" i="2" s="1"/>
  <c r="D25" i="2" s="1"/>
  <c r="D26" i="2" s="1"/>
  <c r="D5" i="2"/>
  <c r="D6" i="2"/>
  <c r="D7" i="2" s="1"/>
  <c r="D8" i="2" s="1"/>
  <c r="D9" i="2" s="1"/>
  <c r="D10" i="2" s="1"/>
  <c r="D11" i="2" s="1"/>
  <c r="D12" i="2" s="1"/>
  <c r="D13" i="2" s="1"/>
  <c r="D14" i="2" s="1"/>
  <c r="D4" i="2"/>
  <c r="B6" i="2"/>
  <c r="G4" i="5" l="1"/>
  <c r="F4" i="5" s="1"/>
  <c r="I4" i="5" s="1"/>
  <c r="E5" i="5" s="1"/>
  <c r="H6" i="5"/>
  <c r="F4" i="2"/>
  <c r="I4" i="2" s="1"/>
  <c r="E5" i="2" s="1"/>
  <c r="G5" i="2" s="1"/>
  <c r="F5" i="2" s="1"/>
  <c r="I5" i="2" s="1"/>
  <c r="E6" i="2" s="1"/>
  <c r="G6" i="2" s="1"/>
  <c r="F6" i="2" s="1"/>
  <c r="I6" i="2" s="1"/>
  <c r="E7" i="2" s="1"/>
  <c r="G7" i="2" s="1"/>
  <c r="F7" i="2" s="1"/>
  <c r="I7" i="2" s="1"/>
  <c r="E8" i="2" s="1"/>
  <c r="G8" i="2" s="1"/>
  <c r="F8" i="2" s="1"/>
  <c r="I8" i="2" s="1"/>
  <c r="E9" i="2" s="1"/>
  <c r="G9" i="2" s="1"/>
  <c r="F9" i="2" s="1"/>
  <c r="I9" i="2" s="1"/>
  <c r="E10" i="2" s="1"/>
  <c r="G10" i="2" s="1"/>
  <c r="F10" i="2" s="1"/>
  <c r="I10" i="2" s="1"/>
  <c r="E11" i="2" s="1"/>
  <c r="G11" i="2" s="1"/>
  <c r="F11" i="2" s="1"/>
  <c r="I11" i="2" s="1"/>
  <c r="E12" i="2" s="1"/>
  <c r="G12" i="2" s="1"/>
  <c r="F12" i="2" s="1"/>
  <c r="I12" i="2" s="1"/>
  <c r="E13" i="2" s="1"/>
  <c r="G13" i="2" s="1"/>
  <c r="F13" i="2" s="1"/>
  <c r="I13" i="2" s="1"/>
  <c r="E14" i="2" s="1"/>
  <c r="G14" i="2" s="1"/>
  <c r="F14" i="2" s="1"/>
  <c r="I14" i="2" s="1"/>
  <c r="E15" i="2" s="1"/>
  <c r="G15" i="2" s="1"/>
  <c r="F15" i="2" s="1"/>
  <c r="I15" i="2" s="1"/>
  <c r="E16" i="2" s="1"/>
  <c r="G16" i="2" s="1"/>
  <c r="F16" i="2" s="1"/>
  <c r="I16" i="2" s="1"/>
  <c r="E17" i="2" s="1"/>
  <c r="G17" i="2" s="1"/>
  <c r="F17" i="2" s="1"/>
  <c r="I17" i="2" s="1"/>
  <c r="E18" i="2" s="1"/>
  <c r="G18" i="2" s="1"/>
  <c r="F18" i="2" s="1"/>
  <c r="I18" i="2" s="1"/>
  <c r="E19" i="2" s="1"/>
  <c r="G19" i="2" s="1"/>
  <c r="F19" i="2" s="1"/>
  <c r="I19" i="2" s="1"/>
  <c r="E20" i="2" s="1"/>
  <c r="G20" i="2" s="1"/>
  <c r="F20" i="2" s="1"/>
  <c r="I20" i="2" s="1"/>
  <c r="E21" i="2" s="1"/>
  <c r="G21" i="2" s="1"/>
  <c r="F21" i="2" s="1"/>
  <c r="I21" i="2" s="1"/>
  <c r="E22" i="2" s="1"/>
  <c r="G22" i="2" s="1"/>
  <c r="F22" i="2" s="1"/>
  <c r="I22" i="2" s="1"/>
  <c r="E23" i="2" s="1"/>
  <c r="G23" i="2" s="1"/>
  <c r="F23" i="2" s="1"/>
  <c r="I23" i="2" s="1"/>
  <c r="E24" i="2" s="1"/>
  <c r="G24" i="2" s="1"/>
  <c r="F24" i="2" s="1"/>
  <c r="I24" i="2" s="1"/>
  <c r="E25" i="2" s="1"/>
  <c r="G25" i="2" s="1"/>
  <c r="F25" i="2" s="1"/>
  <c r="I25" i="2" s="1"/>
  <c r="E26" i="2" s="1"/>
  <c r="G26" i="2" s="1"/>
  <c r="F26" i="2" s="1"/>
  <c r="I26" i="2" s="1"/>
  <c r="G5" i="5" l="1"/>
  <c r="F5" i="5" s="1"/>
  <c r="I5" i="5"/>
  <c r="E6" i="5" s="1"/>
  <c r="H7" i="5"/>
  <c r="H8" i="5" l="1"/>
  <c r="G6" i="5"/>
  <c r="F6" i="5" s="1"/>
  <c r="I6" i="5" s="1"/>
  <c r="E7" i="5" s="1"/>
  <c r="G7" i="5" l="1"/>
  <c r="F7" i="5" s="1"/>
  <c r="I7" i="5"/>
  <c r="E8" i="5" s="1"/>
  <c r="H9" i="5"/>
  <c r="H10" i="5" l="1"/>
  <c r="G8" i="5"/>
  <c r="F8" i="5" s="1"/>
  <c r="I8" i="5" s="1"/>
  <c r="E9" i="5" s="1"/>
  <c r="G9" i="5" l="1"/>
  <c r="F9" i="5" s="1"/>
  <c r="I9" i="5" s="1"/>
  <c r="E10" i="5" s="1"/>
  <c r="H11" i="5"/>
  <c r="G10" i="5" l="1"/>
  <c r="F10" i="5" s="1"/>
  <c r="I10" i="5" s="1"/>
  <c r="E11" i="5" s="1"/>
  <c r="H12" i="5"/>
  <c r="G11" i="5" l="1"/>
  <c r="F11" i="5" s="1"/>
  <c r="I11" i="5" s="1"/>
  <c r="E12" i="5" s="1"/>
  <c r="H13" i="5"/>
  <c r="G12" i="5" l="1"/>
  <c r="F12" i="5" s="1"/>
  <c r="I12" i="5" s="1"/>
  <c r="E13" i="5" s="1"/>
  <c r="H14" i="5"/>
  <c r="G13" i="5" l="1"/>
  <c r="F13" i="5" s="1"/>
  <c r="I13" i="5"/>
  <c r="E14" i="5" s="1"/>
  <c r="H15" i="5"/>
  <c r="G14" i="5" l="1"/>
  <c r="F14" i="5" s="1"/>
  <c r="I14" i="5" s="1"/>
  <c r="E15" i="5" s="1"/>
  <c r="H16" i="5"/>
  <c r="G15" i="5" l="1"/>
  <c r="F15" i="5" s="1"/>
  <c r="I15" i="5"/>
  <c r="E16" i="5" s="1"/>
  <c r="H17" i="5"/>
  <c r="H18" i="5" l="1"/>
  <c r="G16" i="5"/>
  <c r="F16" i="5" s="1"/>
  <c r="I16" i="5" s="1"/>
  <c r="E17" i="5" s="1"/>
  <c r="G17" i="5" l="1"/>
  <c r="F17" i="5" s="1"/>
  <c r="I17" i="5"/>
  <c r="E18" i="5" s="1"/>
  <c r="H19" i="5"/>
  <c r="H20" i="5" l="1"/>
  <c r="G18" i="5"/>
  <c r="F18" i="5" s="1"/>
  <c r="I18" i="5" s="1"/>
  <c r="E19" i="5" s="1"/>
  <c r="G19" i="5" l="1"/>
  <c r="F19" i="5" s="1"/>
  <c r="I19" i="5" s="1"/>
  <c r="E20" i="5" s="1"/>
  <c r="H21" i="5"/>
  <c r="G20" i="5" l="1"/>
  <c r="F20" i="5" s="1"/>
  <c r="I20" i="5" s="1"/>
  <c r="E21" i="5" s="1"/>
  <c r="H22" i="5"/>
  <c r="G21" i="5" l="1"/>
  <c r="F21" i="5" s="1"/>
  <c r="I21" i="5"/>
  <c r="E22" i="5" s="1"/>
  <c r="H23" i="5"/>
  <c r="G22" i="5" l="1"/>
  <c r="F22" i="5" s="1"/>
  <c r="I22" i="5" s="1"/>
  <c r="E23" i="5" s="1"/>
  <c r="H24" i="5"/>
  <c r="G23" i="5" l="1"/>
  <c r="F23" i="5" s="1"/>
  <c r="I23" i="5" s="1"/>
  <c r="E24" i="5" s="1"/>
  <c r="H25" i="5"/>
  <c r="G24" i="5" l="1"/>
  <c r="F24" i="5" s="1"/>
  <c r="I24" i="5" s="1"/>
  <c r="E25" i="5" s="1"/>
  <c r="H26" i="5"/>
  <c r="G25" i="5" l="1"/>
  <c r="F25" i="5" s="1"/>
  <c r="I25" i="5" s="1"/>
  <c r="E26" i="5" s="1"/>
  <c r="G26" i="5" l="1"/>
  <c r="F26" i="5" s="1"/>
  <c r="I26" i="5" s="1"/>
</calcChain>
</file>

<file path=xl/sharedStrings.xml><?xml version="1.0" encoding="utf-8"?>
<sst xmlns="http://schemas.openxmlformats.org/spreadsheetml/2006/main" count="20" uniqueCount="9">
  <si>
    <t>Valor Actual</t>
  </si>
  <si>
    <t>Plazo</t>
  </si>
  <si>
    <t>Tasa</t>
  </si>
  <si>
    <t>Cuota</t>
  </si>
  <si>
    <t>Abono Int.</t>
  </si>
  <si>
    <t>Saldo Final</t>
  </si>
  <si>
    <t>Abono Cap.</t>
  </si>
  <si>
    <t>Saldo Inic.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</si>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</sst>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4F0E-07A7-4F56-8E6F-286E619EF7B0}">
  <dimension ref="A2:I26"/>
  <sheetViews>
    <sheetView workbookViewId="0">
      <selection activeCell="C28" sqref="C28"/>
    </sheetView>
  </sheetViews>
  <sheetFormatPr baseColWidth="10" defaultRowHeight="15" x14ac:dyDescent="0.25"/>
  <cols>
    <col min="5" max="9" width="15" customWidth="1"/>
  </cols>
  <sheetData>
    <row r="2" spans="1:9" x14ac:dyDescent="0.25">
      <c r="A2" t="s">
        <v>0</v>
      </c>
      <c r="B2" s="1">
        <v>3500000</v>
      </c>
      <c r="D2" s="4" t="s">
        <v>8</v>
      </c>
      <c r="E2" s="4" t="s">
        <v>7</v>
      </c>
      <c r="F2" s="4" t="s">
        <v>6</v>
      </c>
      <c r="G2" s="4" t="s">
        <v>4</v>
      </c>
      <c r="H2" s="4" t="s">
        <v>3</v>
      </c>
      <c r="I2" s="4" t="s">
        <v>5</v>
      </c>
    </row>
    <row r="3" spans="1:9" x14ac:dyDescent="0.25">
      <c r="A3" t="s">
        <v>1</v>
      </c>
      <c r="B3">
        <v>24</v>
      </c>
      <c r="D3">
        <v>1</v>
      </c>
      <c r="E3" s="3">
        <f>Valor_Actual</f>
        <v>3500000</v>
      </c>
      <c r="F3" s="3">
        <f>H3-G3</f>
        <v>123711.76442439301</v>
      </c>
      <c r="G3" s="3">
        <f>E3*Tasa</f>
        <v>49000</v>
      </c>
      <c r="H3" s="3">
        <v>172711.76442439301</v>
      </c>
      <c r="I3" s="3">
        <f>E3-F3</f>
        <v>3376288.235575607</v>
      </c>
    </row>
    <row r="4" spans="1:9" x14ac:dyDescent="0.25">
      <c r="A4" t="s">
        <v>2</v>
      </c>
      <c r="B4" s="2">
        <v>1.4E-2</v>
      </c>
      <c r="D4">
        <f>D3+1</f>
        <v>2</v>
      </c>
      <c r="E4" s="3">
        <f>I3</f>
        <v>3376288.235575607</v>
      </c>
      <c r="F4" s="3">
        <f t="shared" ref="F4:F26" si="0">H4-G4</f>
        <v>125443.72912633451</v>
      </c>
      <c r="G4" s="3">
        <f>E4*Tasa</f>
        <v>47268.035298058501</v>
      </c>
      <c r="H4" s="3">
        <f>H3</f>
        <v>172711.76442439301</v>
      </c>
      <c r="I4" s="3">
        <f t="shared" ref="I4:I26" si="1">E4-F4</f>
        <v>3250844.5064492724</v>
      </c>
    </row>
    <row r="5" spans="1:9" x14ac:dyDescent="0.25">
      <c r="D5">
        <f t="shared" ref="D5:D27" si="2">D4+1</f>
        <v>3</v>
      </c>
      <c r="E5" s="3">
        <f t="shared" ref="E5:E26" si="3">I4</f>
        <v>3250844.5064492724</v>
      </c>
      <c r="F5" s="3">
        <f t="shared" si="0"/>
        <v>127199.94133410321</v>
      </c>
      <c r="G5" s="3">
        <f>E5*Tasa</f>
        <v>45511.823090289814</v>
      </c>
      <c r="H5" s="3">
        <f t="shared" ref="H5:H26" si="4">H4</f>
        <v>172711.76442439301</v>
      </c>
      <c r="I5" s="3">
        <f t="shared" si="1"/>
        <v>3123644.5651151692</v>
      </c>
    </row>
    <row r="6" spans="1:9" x14ac:dyDescent="0.25">
      <c r="A6" t="s">
        <v>3</v>
      </c>
      <c r="B6" s="3">
        <f>PMT(B4,B3,-B2)</f>
        <v>172711.76442439292</v>
      </c>
      <c r="D6">
        <f t="shared" si="2"/>
        <v>4</v>
      </c>
      <c r="E6" s="3">
        <f t="shared" si="3"/>
        <v>3123644.5651151692</v>
      </c>
      <c r="F6" s="3">
        <f t="shared" si="0"/>
        <v>128980.74051278064</v>
      </c>
      <c r="G6" s="3">
        <f>E6*Tasa</f>
        <v>43731.02391161237</v>
      </c>
      <c r="H6" s="3">
        <f t="shared" si="4"/>
        <v>172711.76442439301</v>
      </c>
      <c r="I6" s="3">
        <f t="shared" si="1"/>
        <v>2994663.8246023883</v>
      </c>
    </row>
    <row r="7" spans="1:9" x14ac:dyDescent="0.25">
      <c r="D7">
        <f t="shared" si="2"/>
        <v>5</v>
      </c>
      <c r="E7" s="3">
        <f t="shared" si="3"/>
        <v>2994663.8246023883</v>
      </c>
      <c r="F7" s="3">
        <f t="shared" si="0"/>
        <v>130786.47087995958</v>
      </c>
      <c r="G7" s="3">
        <f>E7*Tasa</f>
        <v>41925.293544433436</v>
      </c>
      <c r="H7" s="3">
        <f t="shared" si="4"/>
        <v>172711.76442439301</v>
      </c>
      <c r="I7" s="3">
        <f t="shared" si="1"/>
        <v>2863877.3537224289</v>
      </c>
    </row>
    <row r="8" spans="1:9" x14ac:dyDescent="0.25">
      <c r="D8">
        <f t="shared" si="2"/>
        <v>6</v>
      </c>
      <c r="E8" s="3">
        <f t="shared" si="3"/>
        <v>2863877.3537224289</v>
      </c>
      <c r="F8" s="3">
        <f t="shared" si="0"/>
        <v>132617.481472279</v>
      </c>
      <c r="G8" s="3">
        <f>E8*Tasa</f>
        <v>40094.282952114008</v>
      </c>
      <c r="H8" s="3">
        <f t="shared" si="4"/>
        <v>172711.76442439301</v>
      </c>
      <c r="I8" s="3">
        <f t="shared" si="1"/>
        <v>2731259.87225015</v>
      </c>
    </row>
    <row r="9" spans="1:9" x14ac:dyDescent="0.25">
      <c r="D9">
        <f t="shared" si="2"/>
        <v>7</v>
      </c>
      <c r="E9" s="3">
        <f t="shared" si="3"/>
        <v>2731259.87225015</v>
      </c>
      <c r="F9" s="3">
        <f t="shared" si="0"/>
        <v>134474.1262128909</v>
      </c>
      <c r="G9" s="3">
        <f>E9*Tasa</f>
        <v>38237.638211502097</v>
      </c>
      <c r="H9" s="3">
        <f t="shared" si="4"/>
        <v>172711.76442439301</v>
      </c>
      <c r="I9" s="3">
        <f t="shared" si="1"/>
        <v>2596785.7460372592</v>
      </c>
    </row>
    <row r="10" spans="1:9" x14ac:dyDescent="0.25">
      <c r="D10">
        <f t="shared" si="2"/>
        <v>8</v>
      </c>
      <c r="E10" s="3">
        <f t="shared" si="3"/>
        <v>2596785.7460372592</v>
      </c>
      <c r="F10" s="3">
        <f t="shared" si="0"/>
        <v>136356.76397987138</v>
      </c>
      <c r="G10" s="3">
        <f>E10*Tasa</f>
        <v>36355.000444521633</v>
      </c>
      <c r="H10" s="3">
        <f t="shared" si="4"/>
        <v>172711.76442439301</v>
      </c>
      <c r="I10" s="3">
        <f t="shared" si="1"/>
        <v>2460428.9820573879</v>
      </c>
    </row>
    <row r="11" spans="1:9" x14ac:dyDescent="0.25">
      <c r="D11">
        <f t="shared" si="2"/>
        <v>9</v>
      </c>
      <c r="E11" s="3">
        <f t="shared" si="3"/>
        <v>2460428.9820573879</v>
      </c>
      <c r="F11" s="3">
        <f t="shared" si="0"/>
        <v>138265.75867558958</v>
      </c>
      <c r="G11" s="3">
        <f>E11*Tasa</f>
        <v>34446.005748803429</v>
      </c>
      <c r="H11" s="3">
        <f t="shared" si="4"/>
        <v>172711.76442439301</v>
      </c>
      <c r="I11" s="3">
        <f t="shared" si="1"/>
        <v>2322163.2233817982</v>
      </c>
    </row>
    <row r="12" spans="1:9" x14ac:dyDescent="0.25">
      <c r="D12">
        <f t="shared" si="2"/>
        <v>10</v>
      </c>
      <c r="E12" s="3">
        <f t="shared" si="3"/>
        <v>2322163.2233817982</v>
      </c>
      <c r="F12" s="3">
        <f t="shared" si="0"/>
        <v>140201.47929704783</v>
      </c>
      <c r="G12" s="3">
        <f>E12*Tasa</f>
        <v>32510.285127345178</v>
      </c>
      <c r="H12" s="3">
        <f t="shared" si="4"/>
        <v>172711.76442439301</v>
      </c>
      <c r="I12" s="3">
        <f t="shared" si="1"/>
        <v>2181961.7440847503</v>
      </c>
    </row>
    <row r="13" spans="1:9" x14ac:dyDescent="0.25">
      <c r="D13">
        <f t="shared" si="2"/>
        <v>11</v>
      </c>
      <c r="E13" s="3">
        <f t="shared" si="3"/>
        <v>2181961.7440847503</v>
      </c>
      <c r="F13" s="3">
        <f t="shared" si="0"/>
        <v>142164.3000072065</v>
      </c>
      <c r="G13" s="3">
        <f>E13*Tasa</f>
        <v>30547.464417186504</v>
      </c>
      <c r="H13" s="3">
        <f t="shared" si="4"/>
        <v>172711.76442439301</v>
      </c>
      <c r="I13" s="3">
        <f t="shared" si="1"/>
        <v>2039797.4440775439</v>
      </c>
    </row>
    <row r="14" spans="1:9" x14ac:dyDescent="0.25">
      <c r="D14">
        <f t="shared" si="2"/>
        <v>12</v>
      </c>
      <c r="E14" s="3">
        <f t="shared" si="3"/>
        <v>2039797.4440775439</v>
      </c>
      <c r="F14" s="3">
        <f t="shared" si="0"/>
        <v>144154.60020730741</v>
      </c>
      <c r="G14" s="3">
        <f>E14*Tasa</f>
        <v>28557.164217085614</v>
      </c>
      <c r="H14" s="3">
        <f t="shared" si="4"/>
        <v>172711.76442439301</v>
      </c>
      <c r="I14" s="3">
        <f t="shared" si="1"/>
        <v>1895642.8438702365</v>
      </c>
    </row>
    <row r="15" spans="1:9" x14ac:dyDescent="0.25">
      <c r="D15">
        <f t="shared" si="2"/>
        <v>13</v>
      </c>
      <c r="E15" s="3">
        <f t="shared" si="3"/>
        <v>1895642.8438702365</v>
      </c>
      <c r="F15" s="3">
        <f t="shared" si="0"/>
        <v>146172.76461020971</v>
      </c>
      <c r="G15" s="3">
        <f>E15*Tasa</f>
        <v>26538.999814183313</v>
      </c>
      <c r="H15" s="3">
        <f t="shared" si="4"/>
        <v>172711.76442439301</v>
      </c>
      <c r="I15" s="3">
        <f t="shared" si="1"/>
        <v>1749470.0792600268</v>
      </c>
    </row>
    <row r="16" spans="1:9" x14ac:dyDescent="0.25">
      <c r="D16">
        <f t="shared" si="2"/>
        <v>14</v>
      </c>
      <c r="E16" s="3">
        <f t="shared" si="3"/>
        <v>1749470.0792600268</v>
      </c>
      <c r="F16" s="3">
        <f t="shared" si="0"/>
        <v>148219.18331475265</v>
      </c>
      <c r="G16" s="3">
        <f>E16*Tasa</f>
        <v>24492.581109640374</v>
      </c>
      <c r="H16" s="3">
        <f t="shared" si="4"/>
        <v>172711.76442439301</v>
      </c>
      <c r="I16" s="3">
        <f t="shared" si="1"/>
        <v>1601250.8959452743</v>
      </c>
    </row>
    <row r="17" spans="4:9" x14ac:dyDescent="0.25">
      <c r="D17">
        <f t="shared" si="2"/>
        <v>15</v>
      </c>
      <c r="E17" s="3">
        <f t="shared" si="3"/>
        <v>1601250.8959452743</v>
      </c>
      <c r="F17" s="3">
        <f t="shared" si="0"/>
        <v>150294.25188115917</v>
      </c>
      <c r="G17" s="3">
        <f>E17*Tasa</f>
        <v>22417.512543233839</v>
      </c>
      <c r="H17" s="3">
        <f t="shared" si="4"/>
        <v>172711.76442439301</v>
      </c>
      <c r="I17" s="3">
        <f t="shared" si="1"/>
        <v>1450956.6440641151</v>
      </c>
    </row>
    <row r="18" spans="4:9" x14ac:dyDescent="0.25">
      <c r="D18">
        <f t="shared" si="2"/>
        <v>16</v>
      </c>
      <c r="E18" s="3">
        <f t="shared" si="3"/>
        <v>1450956.6440641151</v>
      </c>
      <c r="F18" s="3">
        <f t="shared" si="0"/>
        <v>152398.3714074954</v>
      </c>
      <c r="G18" s="3">
        <f>E18*Tasa</f>
        <v>20313.393016897611</v>
      </c>
      <c r="H18" s="3">
        <f t="shared" si="4"/>
        <v>172711.76442439301</v>
      </c>
      <c r="I18" s="3">
        <f t="shared" si="1"/>
        <v>1298558.2726566198</v>
      </c>
    </row>
    <row r="19" spans="4:9" x14ac:dyDescent="0.25">
      <c r="D19">
        <f t="shared" si="2"/>
        <v>17</v>
      </c>
      <c r="E19" s="3">
        <f t="shared" si="3"/>
        <v>1298558.2726566198</v>
      </c>
      <c r="F19" s="3">
        <f t="shared" si="0"/>
        <v>154531.94860720035</v>
      </c>
      <c r="G19" s="3">
        <f>E19*Tasa</f>
        <v>18179.815817192677</v>
      </c>
      <c r="H19" s="3">
        <f t="shared" si="4"/>
        <v>172711.76442439301</v>
      </c>
      <c r="I19" s="3">
        <f t="shared" si="1"/>
        <v>1144026.3240494195</v>
      </c>
    </row>
    <row r="20" spans="4:9" x14ac:dyDescent="0.25">
      <c r="D20">
        <f t="shared" si="2"/>
        <v>18</v>
      </c>
      <c r="E20" s="3">
        <f t="shared" si="3"/>
        <v>1144026.3240494195</v>
      </c>
      <c r="F20" s="3">
        <f t="shared" si="0"/>
        <v>156695.39588770113</v>
      </c>
      <c r="G20" s="3">
        <f>E20*Tasa</f>
        <v>16016.368536691873</v>
      </c>
      <c r="H20" s="3">
        <f t="shared" si="4"/>
        <v>172711.76442439301</v>
      </c>
      <c r="I20" s="3">
        <f t="shared" si="1"/>
        <v>987330.92816171842</v>
      </c>
    </row>
    <row r="21" spans="4:9" x14ac:dyDescent="0.25">
      <c r="D21">
        <f t="shared" si="2"/>
        <v>19</v>
      </c>
      <c r="E21" s="3">
        <f t="shared" si="3"/>
        <v>987330.92816171842</v>
      </c>
      <c r="F21" s="3">
        <f t="shared" si="0"/>
        <v>158889.13143012894</v>
      </c>
      <c r="G21" s="3">
        <f>E21*Tasa</f>
        <v>13822.632994264059</v>
      </c>
      <c r="H21" s="3">
        <f t="shared" si="4"/>
        <v>172711.76442439301</v>
      </c>
      <c r="I21" s="3">
        <f t="shared" si="1"/>
        <v>828441.79673158948</v>
      </c>
    </row>
    <row r="22" spans="4:9" x14ac:dyDescent="0.25">
      <c r="D22">
        <f t="shared" si="2"/>
        <v>20</v>
      </c>
      <c r="E22" s="3">
        <f t="shared" si="3"/>
        <v>828441.79673158948</v>
      </c>
      <c r="F22" s="3">
        <f t="shared" si="0"/>
        <v>161113.57927015075</v>
      </c>
      <c r="G22" s="3">
        <f>E22*Tasa</f>
        <v>11598.185154242254</v>
      </c>
      <c r="H22" s="3">
        <f t="shared" si="4"/>
        <v>172711.76442439301</v>
      </c>
      <c r="I22" s="3">
        <f t="shared" si="1"/>
        <v>667328.21746143873</v>
      </c>
    </row>
    <row r="23" spans="4:9" x14ac:dyDescent="0.25">
      <c r="D23">
        <f t="shared" si="2"/>
        <v>21</v>
      </c>
      <c r="E23" s="3">
        <f t="shared" si="3"/>
        <v>667328.21746143873</v>
      </c>
      <c r="F23" s="3">
        <f t="shared" si="0"/>
        <v>163369.16937993286</v>
      </c>
      <c r="G23" s="3">
        <f>E23*Tasa</f>
        <v>9342.5950444601422</v>
      </c>
      <c r="H23" s="3">
        <f t="shared" si="4"/>
        <v>172711.76442439301</v>
      </c>
      <c r="I23" s="3">
        <f t="shared" si="1"/>
        <v>503959.04808150587</v>
      </c>
    </row>
    <row r="24" spans="4:9" x14ac:dyDescent="0.25">
      <c r="D24">
        <f t="shared" si="2"/>
        <v>22</v>
      </c>
      <c r="E24" s="3">
        <f t="shared" si="3"/>
        <v>503959.04808150587</v>
      </c>
      <c r="F24" s="3">
        <f t="shared" si="0"/>
        <v>165656.33775125194</v>
      </c>
      <c r="G24" s="3">
        <f>E24*Tasa</f>
        <v>7055.4266731410826</v>
      </c>
      <c r="H24" s="3">
        <f t="shared" si="4"/>
        <v>172711.76442439301</v>
      </c>
      <c r="I24" s="3">
        <f t="shared" si="1"/>
        <v>338302.71033025393</v>
      </c>
    </row>
    <row r="25" spans="4:9" x14ac:dyDescent="0.25">
      <c r="D25">
        <f t="shared" si="2"/>
        <v>23</v>
      </c>
      <c r="E25" s="3">
        <f t="shared" si="3"/>
        <v>338302.71033025393</v>
      </c>
      <c r="F25" s="3">
        <f t="shared" si="0"/>
        <v>167975.52647976947</v>
      </c>
      <c r="G25" s="3">
        <f>E25*Tasa</f>
        <v>4736.2379446235554</v>
      </c>
      <c r="H25" s="3">
        <f t="shared" si="4"/>
        <v>172711.76442439301</v>
      </c>
      <c r="I25" s="3">
        <f t="shared" si="1"/>
        <v>170327.18385048446</v>
      </c>
    </row>
    <row r="26" spans="4:9" x14ac:dyDescent="0.25">
      <c r="D26">
        <f t="shared" si="2"/>
        <v>24</v>
      </c>
      <c r="E26" s="3">
        <f t="shared" si="3"/>
        <v>170327.18385048446</v>
      </c>
      <c r="F26" s="3">
        <f t="shared" si="0"/>
        <v>170327.18385048624</v>
      </c>
      <c r="G26" s="3">
        <f>E26*Tasa</f>
        <v>2384.5805739067823</v>
      </c>
      <c r="H26" s="3">
        <f t="shared" si="4"/>
        <v>172711.76442439301</v>
      </c>
      <c r="I26" s="3">
        <f t="shared" si="1"/>
        <v>-1.7753336578607559E-9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A46B-EB6E-4A8C-AAC3-B8619B073822}">
  <dimension ref="A2:I26"/>
  <sheetViews>
    <sheetView tabSelected="1" workbookViewId="0">
      <selection activeCell="L4" sqref="L4"/>
    </sheetView>
  </sheetViews>
  <sheetFormatPr baseColWidth="10" defaultRowHeight="15" x14ac:dyDescent="0.25"/>
  <cols>
    <col min="5" max="9" width="15" customWidth="1"/>
  </cols>
  <sheetData>
    <row r="2" spans="1:9" x14ac:dyDescent="0.25">
      <c r="A2" t="s">
        <v>0</v>
      </c>
      <c r="B2" s="1">
        <v>3500000</v>
      </c>
      <c r="D2" s="4" t="s">
        <v>8</v>
      </c>
      <c r="E2" s="4" t="s">
        <v>7</v>
      </c>
      <c r="F2" s="4" t="s">
        <v>6</v>
      </c>
      <c r="G2" s="4" t="s">
        <v>4</v>
      </c>
      <c r="H2" s="4" t="s">
        <v>3</v>
      </c>
      <c r="I2" s="4" t="s">
        <v>5</v>
      </c>
    </row>
    <row r="3" spans="1:9" x14ac:dyDescent="0.25">
      <c r="A3" t="s">
        <v>1</v>
      </c>
      <c r="B3">
        <v>24</v>
      </c>
      <c r="D3">
        <v>1</v>
      </c>
      <c r="E3" s="3">
        <f>Valor_Actual</f>
        <v>3500000</v>
      </c>
      <c r="F3" s="3">
        <f>H3-G3</f>
        <v>123711.76442439301</v>
      </c>
      <c r="G3" s="3">
        <f>E3*Tasa</f>
        <v>49000</v>
      </c>
      <c r="H3" s="3">
        <v>172711.76442439301</v>
      </c>
      <c r="I3" s="3">
        <f>E3-F3</f>
        <v>3376288.235575607</v>
      </c>
    </row>
    <row r="4" spans="1:9" x14ac:dyDescent="0.25">
      <c r="A4" t="s">
        <v>2</v>
      </c>
      <c r="B4" s="2">
        <v>1.4E-2</v>
      </c>
      <c r="D4">
        <f>D3+1</f>
        <v>2</v>
      </c>
      <c r="E4" s="3">
        <f>I3</f>
        <v>3376288.235575607</v>
      </c>
      <c r="F4" s="3">
        <f t="shared" ref="F4:F26" si="0">H4-G4</f>
        <v>125443.72912633451</v>
      </c>
      <c r="G4" s="3">
        <f>E4*Tasa</f>
        <v>47268.035298058501</v>
      </c>
      <c r="H4" s="3">
        <f>H3</f>
        <v>172711.76442439301</v>
      </c>
      <c r="I4" s="3">
        <f t="shared" ref="I4:I26" si="1">E4-F4</f>
        <v>3250844.5064492724</v>
      </c>
    </row>
    <row r="5" spans="1:9" x14ac:dyDescent="0.25">
      <c r="D5">
        <f t="shared" ref="D5:D27" si="2">D4+1</f>
        <v>3</v>
      </c>
      <c r="E5" s="3">
        <f t="shared" ref="E5:E26" si="3">I4</f>
        <v>3250844.5064492724</v>
      </c>
      <c r="F5" s="3">
        <f t="shared" si="0"/>
        <v>127199.94133410321</v>
      </c>
      <c r="G5" s="3">
        <f>E5*Tasa</f>
        <v>45511.823090289814</v>
      </c>
      <c r="H5" s="3">
        <f t="shared" ref="H5:H26" si="4">H4</f>
        <v>172711.76442439301</v>
      </c>
      <c r="I5" s="3">
        <f t="shared" si="1"/>
        <v>3123644.5651151692</v>
      </c>
    </row>
    <row r="6" spans="1:9" x14ac:dyDescent="0.25">
      <c r="A6" t="s">
        <v>3</v>
      </c>
      <c r="B6" s="3">
        <f>PMT(B4,B3,-B2)</f>
        <v>172711.76442439292</v>
      </c>
      <c r="D6">
        <f t="shared" si="2"/>
        <v>4</v>
      </c>
      <c r="E6" s="3">
        <f t="shared" si="3"/>
        <v>3123644.5651151692</v>
      </c>
      <c r="F6" s="3">
        <f t="shared" si="0"/>
        <v>128980.74051278064</v>
      </c>
      <c r="G6" s="3">
        <f>E6*Tasa</f>
        <v>43731.02391161237</v>
      </c>
      <c r="H6" s="3">
        <f t="shared" si="4"/>
        <v>172711.76442439301</v>
      </c>
      <c r="I6" s="3">
        <f t="shared" si="1"/>
        <v>2994663.8246023883</v>
      </c>
    </row>
    <row r="7" spans="1:9" x14ac:dyDescent="0.25">
      <c r="D7">
        <f t="shared" si="2"/>
        <v>5</v>
      </c>
      <c r="E7" s="3">
        <f t="shared" si="3"/>
        <v>2994663.8246023883</v>
      </c>
      <c r="F7" s="3">
        <f t="shared" si="0"/>
        <v>130786.47087995958</v>
      </c>
      <c r="G7" s="3">
        <f>E7*Tasa</f>
        <v>41925.293544433436</v>
      </c>
      <c r="H7" s="3">
        <f t="shared" si="4"/>
        <v>172711.76442439301</v>
      </c>
      <c r="I7" s="3">
        <f t="shared" si="1"/>
        <v>2863877.3537224289</v>
      </c>
    </row>
    <row r="8" spans="1:9" x14ac:dyDescent="0.25">
      <c r="D8">
        <f t="shared" si="2"/>
        <v>6</v>
      </c>
      <c r="E8" s="3">
        <f t="shared" si="3"/>
        <v>2863877.3537224289</v>
      </c>
      <c r="F8" s="3">
        <f t="shared" si="0"/>
        <v>132617.481472279</v>
      </c>
      <c r="G8" s="3">
        <f>E8*Tasa</f>
        <v>40094.282952114008</v>
      </c>
      <c r="H8" s="3">
        <f t="shared" si="4"/>
        <v>172711.76442439301</v>
      </c>
      <c r="I8" s="3">
        <f t="shared" si="1"/>
        <v>2731259.87225015</v>
      </c>
    </row>
    <row r="9" spans="1:9" x14ac:dyDescent="0.25">
      <c r="D9">
        <f t="shared" si="2"/>
        <v>7</v>
      </c>
      <c r="E9" s="3">
        <f t="shared" si="3"/>
        <v>2731259.87225015</v>
      </c>
      <c r="F9" s="3">
        <f t="shared" si="0"/>
        <v>134474.1262128909</v>
      </c>
      <c r="G9" s="3">
        <f>E9*Tasa</f>
        <v>38237.638211502097</v>
      </c>
      <c r="H9" s="3">
        <f t="shared" si="4"/>
        <v>172711.76442439301</v>
      </c>
      <c r="I9" s="3">
        <f t="shared" si="1"/>
        <v>2596785.7460372592</v>
      </c>
    </row>
    <row r="10" spans="1:9" x14ac:dyDescent="0.25">
      <c r="D10">
        <f t="shared" si="2"/>
        <v>8</v>
      </c>
      <c r="E10" s="3">
        <f t="shared" si="3"/>
        <v>2596785.7460372592</v>
      </c>
      <c r="F10" s="3">
        <f t="shared" si="0"/>
        <v>136356.76397987138</v>
      </c>
      <c r="G10" s="3">
        <f>E10*Tasa</f>
        <v>36355.000444521633</v>
      </c>
      <c r="H10" s="3">
        <f t="shared" si="4"/>
        <v>172711.76442439301</v>
      </c>
      <c r="I10" s="3">
        <f t="shared" si="1"/>
        <v>2460428.9820573879</v>
      </c>
    </row>
    <row r="11" spans="1:9" x14ac:dyDescent="0.25">
      <c r="D11">
        <f t="shared" si="2"/>
        <v>9</v>
      </c>
      <c r="E11" s="3">
        <f t="shared" si="3"/>
        <v>2460428.9820573879</v>
      </c>
      <c r="F11" s="3">
        <f t="shared" si="0"/>
        <v>138265.75867558958</v>
      </c>
      <c r="G11" s="3">
        <f>E11*Tasa</f>
        <v>34446.005748803429</v>
      </c>
      <c r="H11" s="3">
        <f t="shared" si="4"/>
        <v>172711.76442439301</v>
      </c>
      <c r="I11" s="3">
        <f t="shared" si="1"/>
        <v>2322163.2233817982</v>
      </c>
    </row>
    <row r="12" spans="1:9" x14ac:dyDescent="0.25">
      <c r="D12">
        <f t="shared" si="2"/>
        <v>10</v>
      </c>
      <c r="E12" s="3">
        <f t="shared" si="3"/>
        <v>2322163.2233817982</v>
      </c>
      <c r="F12" s="3">
        <f t="shared" si="0"/>
        <v>140201.47929704783</v>
      </c>
      <c r="G12" s="3">
        <f>E12*Tasa</f>
        <v>32510.285127345178</v>
      </c>
      <c r="H12" s="3">
        <f t="shared" si="4"/>
        <v>172711.76442439301</v>
      </c>
      <c r="I12" s="3">
        <f t="shared" si="1"/>
        <v>2181961.7440847503</v>
      </c>
    </row>
    <row r="13" spans="1:9" x14ac:dyDescent="0.25">
      <c r="D13">
        <f t="shared" si="2"/>
        <v>11</v>
      </c>
      <c r="E13" s="3">
        <f t="shared" si="3"/>
        <v>2181961.7440847503</v>
      </c>
      <c r="F13" s="3">
        <f t="shared" si="0"/>
        <v>142164.3000072065</v>
      </c>
      <c r="G13" s="3">
        <f>E13*Tasa</f>
        <v>30547.464417186504</v>
      </c>
      <c r="H13" s="3">
        <f t="shared" si="4"/>
        <v>172711.76442439301</v>
      </c>
      <c r="I13" s="3">
        <f t="shared" si="1"/>
        <v>2039797.4440775439</v>
      </c>
    </row>
    <row r="14" spans="1:9" x14ac:dyDescent="0.25">
      <c r="D14">
        <f t="shared" si="2"/>
        <v>12</v>
      </c>
      <c r="E14" s="3">
        <f t="shared" si="3"/>
        <v>2039797.4440775439</v>
      </c>
      <c r="F14" s="3">
        <f t="shared" si="0"/>
        <v>144154.60020730741</v>
      </c>
      <c r="G14" s="3">
        <f>E14*Tasa</f>
        <v>28557.164217085614</v>
      </c>
      <c r="H14" s="3">
        <f t="shared" si="4"/>
        <v>172711.76442439301</v>
      </c>
      <c r="I14" s="3">
        <f t="shared" si="1"/>
        <v>1895642.8438702365</v>
      </c>
    </row>
    <row r="15" spans="1:9" x14ac:dyDescent="0.25">
      <c r="D15">
        <f t="shared" si="2"/>
        <v>13</v>
      </c>
      <c r="E15" s="3">
        <f t="shared" si="3"/>
        <v>1895642.8438702365</v>
      </c>
      <c r="F15" s="3">
        <f t="shared" si="0"/>
        <v>146172.76461020971</v>
      </c>
      <c r="G15" s="3">
        <f>E15*Tasa</f>
        <v>26538.999814183313</v>
      </c>
      <c r="H15" s="3">
        <f t="shared" si="4"/>
        <v>172711.76442439301</v>
      </c>
      <c r="I15" s="3">
        <f t="shared" si="1"/>
        <v>1749470.0792600268</v>
      </c>
    </row>
    <row r="16" spans="1:9" x14ac:dyDescent="0.25">
      <c r="D16">
        <f t="shared" si="2"/>
        <v>14</v>
      </c>
      <c r="E16" s="3">
        <f t="shared" si="3"/>
        <v>1749470.0792600268</v>
      </c>
      <c r="F16" s="3">
        <f t="shared" si="0"/>
        <v>148219.18331475265</v>
      </c>
      <c r="G16" s="3">
        <f>E16*Tasa</f>
        <v>24492.581109640374</v>
      </c>
      <c r="H16" s="3">
        <f t="shared" si="4"/>
        <v>172711.76442439301</v>
      </c>
      <c r="I16" s="3">
        <f t="shared" si="1"/>
        <v>1601250.8959452743</v>
      </c>
    </row>
    <row r="17" spans="4:9" x14ac:dyDescent="0.25">
      <c r="D17">
        <f t="shared" si="2"/>
        <v>15</v>
      </c>
      <c r="E17" s="3">
        <f t="shared" si="3"/>
        <v>1601250.8959452743</v>
      </c>
      <c r="F17" s="3">
        <f t="shared" si="0"/>
        <v>150294.25188115917</v>
      </c>
      <c r="G17" s="3">
        <f>E17*Tasa</f>
        <v>22417.512543233839</v>
      </c>
      <c r="H17" s="3">
        <f t="shared" si="4"/>
        <v>172711.76442439301</v>
      </c>
      <c r="I17" s="3">
        <f t="shared" si="1"/>
        <v>1450956.6440641151</v>
      </c>
    </row>
    <row r="18" spans="4:9" x14ac:dyDescent="0.25">
      <c r="D18">
        <f t="shared" si="2"/>
        <v>16</v>
      </c>
      <c r="E18" s="3">
        <f t="shared" si="3"/>
        <v>1450956.6440641151</v>
      </c>
      <c r="F18" s="3">
        <f t="shared" si="0"/>
        <v>152398.3714074954</v>
      </c>
      <c r="G18" s="3">
        <f>E18*Tasa</f>
        <v>20313.393016897611</v>
      </c>
      <c r="H18" s="3">
        <f t="shared" si="4"/>
        <v>172711.76442439301</v>
      </c>
      <c r="I18" s="3">
        <f t="shared" si="1"/>
        <v>1298558.2726566198</v>
      </c>
    </row>
    <row r="19" spans="4:9" x14ac:dyDescent="0.25">
      <c r="D19">
        <f t="shared" si="2"/>
        <v>17</v>
      </c>
      <c r="E19" s="3">
        <f t="shared" si="3"/>
        <v>1298558.2726566198</v>
      </c>
      <c r="F19" s="3">
        <f t="shared" si="0"/>
        <v>154531.94860720035</v>
      </c>
      <c r="G19" s="3">
        <f>E19*Tasa</f>
        <v>18179.815817192677</v>
      </c>
      <c r="H19" s="3">
        <f t="shared" si="4"/>
        <v>172711.76442439301</v>
      </c>
      <c r="I19" s="3">
        <f t="shared" si="1"/>
        <v>1144026.3240494195</v>
      </c>
    </row>
    <row r="20" spans="4:9" x14ac:dyDescent="0.25">
      <c r="D20">
        <f t="shared" si="2"/>
        <v>18</v>
      </c>
      <c r="E20" s="3">
        <f t="shared" si="3"/>
        <v>1144026.3240494195</v>
      </c>
      <c r="F20" s="3">
        <f t="shared" si="0"/>
        <v>156695.39588770113</v>
      </c>
      <c r="G20" s="3">
        <f>E20*Tasa</f>
        <v>16016.368536691873</v>
      </c>
      <c r="H20" s="3">
        <f t="shared" si="4"/>
        <v>172711.76442439301</v>
      </c>
      <c r="I20" s="3">
        <f t="shared" si="1"/>
        <v>987330.92816171842</v>
      </c>
    </row>
    <row r="21" spans="4:9" x14ac:dyDescent="0.25">
      <c r="D21">
        <f t="shared" si="2"/>
        <v>19</v>
      </c>
      <c r="E21" s="3">
        <f t="shared" si="3"/>
        <v>987330.92816171842</v>
      </c>
      <c r="F21" s="3">
        <f t="shared" si="0"/>
        <v>158889.13143012894</v>
      </c>
      <c r="G21" s="3">
        <f>E21*Tasa</f>
        <v>13822.632994264059</v>
      </c>
      <c r="H21" s="3">
        <f t="shared" si="4"/>
        <v>172711.76442439301</v>
      </c>
      <c r="I21" s="3">
        <f t="shared" si="1"/>
        <v>828441.79673158948</v>
      </c>
    </row>
    <row r="22" spans="4:9" x14ac:dyDescent="0.25">
      <c r="D22">
        <f t="shared" si="2"/>
        <v>20</v>
      </c>
      <c r="E22" s="3">
        <f t="shared" si="3"/>
        <v>828441.79673158948</v>
      </c>
      <c r="F22" s="3">
        <f t="shared" si="0"/>
        <v>161113.57927015075</v>
      </c>
      <c r="G22" s="3">
        <f>E22*Tasa</f>
        <v>11598.185154242254</v>
      </c>
      <c r="H22" s="3">
        <f t="shared" si="4"/>
        <v>172711.76442439301</v>
      </c>
      <c r="I22" s="3">
        <f t="shared" si="1"/>
        <v>667328.21746143873</v>
      </c>
    </row>
    <row r="23" spans="4:9" x14ac:dyDescent="0.25">
      <c r="D23">
        <f t="shared" si="2"/>
        <v>21</v>
      </c>
      <c r="E23" s="3">
        <f t="shared" si="3"/>
        <v>667328.21746143873</v>
      </c>
      <c r="F23" s="3">
        <f t="shared" si="0"/>
        <v>163369.16937993286</v>
      </c>
      <c r="G23" s="3">
        <f>E23*Tasa</f>
        <v>9342.5950444601422</v>
      </c>
      <c r="H23" s="3">
        <f t="shared" si="4"/>
        <v>172711.76442439301</v>
      </c>
      <c r="I23" s="3">
        <f t="shared" si="1"/>
        <v>503959.04808150587</v>
      </c>
    </row>
    <row r="24" spans="4:9" x14ac:dyDescent="0.25">
      <c r="D24">
        <f t="shared" si="2"/>
        <v>22</v>
      </c>
      <c r="E24" s="3">
        <f t="shared" si="3"/>
        <v>503959.04808150587</v>
      </c>
      <c r="F24" s="3">
        <f t="shared" si="0"/>
        <v>165656.33775125194</v>
      </c>
      <c r="G24" s="3">
        <f>E24*Tasa</f>
        <v>7055.4266731410826</v>
      </c>
      <c r="H24" s="3">
        <f t="shared" si="4"/>
        <v>172711.76442439301</v>
      </c>
      <c r="I24" s="3">
        <f t="shared" si="1"/>
        <v>338302.71033025393</v>
      </c>
    </row>
    <row r="25" spans="4:9" x14ac:dyDescent="0.25">
      <c r="D25">
        <f t="shared" si="2"/>
        <v>23</v>
      </c>
      <c r="E25" s="3">
        <f t="shared" si="3"/>
        <v>338302.71033025393</v>
      </c>
      <c r="F25" s="3">
        <f t="shared" si="0"/>
        <v>167975.52647976947</v>
      </c>
      <c r="G25" s="3">
        <f>E25*Tasa</f>
        <v>4736.2379446235554</v>
      </c>
      <c r="H25" s="3">
        <f t="shared" si="4"/>
        <v>172711.76442439301</v>
      </c>
      <c r="I25" s="3">
        <f t="shared" si="1"/>
        <v>170327.18385048446</v>
      </c>
    </row>
    <row r="26" spans="4:9" x14ac:dyDescent="0.25">
      <c r="D26">
        <f t="shared" si="2"/>
        <v>24</v>
      </c>
      <c r="E26" s="3">
        <f t="shared" si="3"/>
        <v>170327.18385048446</v>
      </c>
      <c r="F26" s="3">
        <f t="shared" si="0"/>
        <v>170327.18385048624</v>
      </c>
      <c r="G26" s="3">
        <f>E26*Tasa</f>
        <v>2384.5805739067823</v>
      </c>
      <c r="H26" s="3">
        <f t="shared" si="4"/>
        <v>172711.76442439301</v>
      </c>
      <c r="I26" s="3">
        <f t="shared" si="1"/>
        <v>-1.7753336578607559E-9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Cuota Fija</vt:lpstr>
      <vt:lpstr>Abono Cap. Fijo</vt:lpstr>
      <vt:lpstr>Cuota</vt:lpstr>
      <vt:lpstr>Plazo</vt:lpstr>
      <vt:lpstr>Tasa</vt:lpstr>
      <vt:lpstr>Valor_Actual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Murcia Forero</dc:creator>
  <cp:lastModifiedBy>Héctor Murcia Forero</cp:lastModifiedBy>
  <dcterms:created xsi:type="dcterms:W3CDTF">2023-08-16T12:05:16Z</dcterms:created>
  <dcterms:modified xsi:type="dcterms:W3CDTF">2023-08-16T12:37:41Z</dcterms:modified>
</cp:coreProperties>
</file>